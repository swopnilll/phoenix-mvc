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Pricing" sheetId="1" state="visible" r:id="rId1"/>
    <sheet name="Inventory Analysis" sheetId="2" state="visible" r:id="rId2"/>
    <sheet name="Financial Proj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Product</t>
        </is>
      </c>
      <c r="B1" s="1" t="inlineStr">
        <is>
          <t>Base Cost</t>
        </is>
      </c>
      <c r="C1" s="1" t="inlineStr">
        <is>
          <t>Markup %</t>
        </is>
      </c>
      <c r="D1" s="1" t="inlineStr">
        <is>
          <t>Tax Rate %</t>
        </is>
      </c>
      <c r="E1" s="1" t="inlineStr">
        <is>
          <t>Quantity</t>
        </is>
      </c>
      <c r="F1" s="1" t="inlineStr">
        <is>
          <t>Unit Price</t>
        </is>
      </c>
      <c r="G1" s="1" t="inlineStr">
        <is>
          <t>Subtotal</t>
        </is>
      </c>
      <c r="H1" s="1" t="inlineStr">
        <is>
          <t>Tax Amount</t>
        </is>
      </c>
      <c r="I1" s="1" t="inlineStr">
        <is>
          <t>Total</t>
        </is>
      </c>
      <c r="J1" s="1" t="inlineStr">
        <is>
          <t>Profit Margin</t>
        </is>
      </c>
    </row>
    <row r="2">
      <c r="A2" t="inlineStr">
        <is>
          <t>Widget A</t>
        </is>
      </c>
      <c r="B2" t="n">
        <v>25.5</v>
      </c>
      <c r="C2" t="n">
        <v>35</v>
      </c>
      <c r="D2" t="n">
        <v>8.5</v>
      </c>
      <c r="E2" t="n">
        <v>100</v>
      </c>
      <c r="F2">
        <f>B2*(1+C2/100)</f>
        <v/>
      </c>
      <c r="G2">
        <f>F2*E2</f>
        <v/>
      </c>
      <c r="H2">
        <f>G2*D2/100</f>
        <v/>
      </c>
      <c r="I2">
        <f>G2+H2</f>
        <v/>
      </c>
      <c r="J2">
        <f>ROUND((F2-B2)/F2*100, 2)</f>
        <v/>
      </c>
    </row>
    <row r="3">
      <c r="A3" t="inlineStr">
        <is>
          <t>Widget B</t>
        </is>
      </c>
      <c r="B3" t="n">
        <v>42.75</v>
      </c>
      <c r="C3" t="n">
        <v>45</v>
      </c>
      <c r="D3" t="n">
        <v>8.5</v>
      </c>
      <c r="E3" t="n">
        <v>75</v>
      </c>
      <c r="F3">
        <f>B3*(1+C3/100)</f>
        <v/>
      </c>
      <c r="G3">
        <f>F3*E3</f>
        <v/>
      </c>
      <c r="H3">
        <f>G3*D3/100</f>
        <v/>
      </c>
      <c r="I3">
        <f>G3+H3</f>
        <v/>
      </c>
      <c r="J3">
        <f>ROUND((F3-B3)/F3*100, 2)</f>
        <v/>
      </c>
    </row>
    <row r="4">
      <c r="A4" t="inlineStr">
        <is>
          <t>Gadget X</t>
        </is>
      </c>
      <c r="B4" t="n">
        <v>89.98999999999999</v>
      </c>
      <c r="C4" t="n">
        <v>55</v>
      </c>
      <c r="D4" t="n">
        <v>8.5</v>
      </c>
      <c r="E4" t="n">
        <v>50</v>
      </c>
      <c r="F4">
        <f>B4*(1+C4/100)</f>
        <v/>
      </c>
      <c r="G4">
        <f>F4*E4</f>
        <v/>
      </c>
      <c r="H4">
        <f>G4*D4/100</f>
        <v/>
      </c>
      <c r="I4">
        <f>G4+H4</f>
        <v/>
      </c>
      <c r="J4">
        <f>ROUND((F4-B4)/F4*100, 2)</f>
        <v/>
      </c>
    </row>
    <row r="5">
      <c r="A5" t="inlineStr">
        <is>
          <t>Gadget Y</t>
        </is>
      </c>
      <c r="B5" t="n">
        <v>125</v>
      </c>
      <c r="C5" t="n">
        <v>40</v>
      </c>
      <c r="D5" t="n">
        <v>8.5</v>
      </c>
      <c r="E5" t="n">
        <v>30</v>
      </c>
      <c r="F5">
        <f>B5*(1+C5/100)</f>
        <v/>
      </c>
      <c r="G5">
        <f>F5*E5</f>
        <v/>
      </c>
      <c r="H5">
        <f>G5*D5/100</f>
        <v/>
      </c>
      <c r="I5">
        <f>G5+H5</f>
        <v/>
      </c>
      <c r="J5">
        <f>ROUND((F5-B5)/F5*100, 2)</f>
        <v/>
      </c>
    </row>
    <row r="6">
      <c r="A6" t="inlineStr">
        <is>
          <t>Component Z</t>
        </is>
      </c>
      <c r="B6" t="n">
        <v>15.25</v>
      </c>
      <c r="C6" t="n">
        <v>60</v>
      </c>
      <c r="D6" t="n">
        <v>8.5</v>
      </c>
      <c r="E6" t="n">
        <v>200</v>
      </c>
      <c r="F6">
        <f>B6*(1+C6/100)</f>
        <v/>
      </c>
      <c r="G6">
        <f>F6*E6</f>
        <v/>
      </c>
      <c r="H6">
        <f>G6*D6/100</f>
        <v/>
      </c>
      <c r="I6">
        <f>G6+H6</f>
        <v/>
      </c>
      <c r="J6">
        <f>ROUND((F6-B6)/F6*100, 2)</f>
        <v/>
      </c>
    </row>
    <row r="8">
      <c r="A8" s="2" t="inlineStr">
        <is>
          <t>SUMMARY</t>
        </is>
      </c>
    </row>
    <row r="9">
      <c r="A9" t="inlineStr">
        <is>
          <t>Total Revenue:</t>
        </is>
      </c>
      <c r="B9">
        <f>SUM(I2:I6)</f>
        <v/>
      </c>
    </row>
    <row r="10">
      <c r="A10" t="inlineStr">
        <is>
          <t>Total Units Sold:</t>
        </is>
      </c>
      <c r="B10">
        <f>SUM(E2:E6)</f>
        <v/>
      </c>
    </row>
    <row r="11">
      <c r="A11" t="inlineStr">
        <is>
          <t>Average Unit Price:</t>
        </is>
      </c>
      <c r="B11">
        <f>AVERAGE(F2:F6)</f>
        <v/>
      </c>
    </row>
    <row r="12">
      <c r="A12" t="inlineStr">
        <is>
          <t>Weighted Avg Margin:</t>
        </is>
      </c>
      <c r="B12">
        <f>SUMPRODUCT(J2:J6,E2:E6)/SUM(E2:E6)</f>
        <v/>
      </c>
    </row>
    <row r="13">
      <c r="A13" t="inlineStr">
        <is>
          <t>Max Profit Product:</t>
        </is>
      </c>
      <c r="B13">
        <f>INDEX(A2:A6,MATCH(MAX(J2:J6),J2:J6,0))</f>
        <v/>
      </c>
    </row>
    <row r="14">
      <c r="A14" t="inlineStr">
        <is>
          <t>Total Tax Collected:</t>
        </is>
      </c>
      <c r="B14">
        <f>SUM(H2:H6)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3" t="inlineStr">
        <is>
          <t>SKU</t>
        </is>
      </c>
      <c r="B1" s="3" t="inlineStr">
        <is>
          <t>Product</t>
        </is>
      </c>
      <c r="C1" s="3" t="inlineStr">
        <is>
          <t>In Stock</t>
        </is>
      </c>
      <c r="D1" s="3" t="inlineStr">
        <is>
          <t>Reorder Point</t>
        </is>
      </c>
      <c r="E1" s="3" t="inlineStr">
        <is>
          <t>Lead Time (days)</t>
        </is>
      </c>
      <c r="F1" s="3" t="inlineStr">
        <is>
          <t>Daily Sales</t>
        </is>
      </c>
      <c r="G1" s="3" t="inlineStr">
        <is>
          <t>Days Until Stockout</t>
        </is>
      </c>
      <c r="H1" s="3" t="inlineStr">
        <is>
          <t>Reorder Status</t>
        </is>
      </c>
      <c r="I1" s="3" t="inlineStr">
        <is>
          <t>Safety Stock</t>
        </is>
      </c>
    </row>
    <row r="2">
      <c r="A2" t="inlineStr">
        <is>
          <t>SKU001</t>
        </is>
      </c>
      <c r="B2" t="inlineStr">
        <is>
          <t>Widget A</t>
        </is>
      </c>
      <c r="C2" t="n">
        <v>500</v>
      </c>
      <c r="D2" t="n">
        <v>100</v>
      </c>
      <c r="E2" t="n">
        <v>7</v>
      </c>
      <c r="F2" t="n">
        <v>15</v>
      </c>
      <c r="G2">
        <f>IF(F2=0,"N/A",ROUND(C2/F2,1))</f>
        <v/>
      </c>
      <c r="H2">
        <f>IF(C2&lt;=D2,"REORDER NOW",IF(G2&lt;E2*1.5,"ORDER SOON","OK"))</f>
        <v/>
      </c>
      <c r="I2">
        <f>ROUND(E2*F2*1.5,0)</f>
        <v/>
      </c>
    </row>
    <row r="3">
      <c r="A3" t="inlineStr">
        <is>
          <t>SKU002</t>
        </is>
      </c>
      <c r="B3" t="inlineStr">
        <is>
          <t>Widget B</t>
        </is>
      </c>
      <c r="C3" t="n">
        <v>75</v>
      </c>
      <c r="D3" t="n">
        <v>50</v>
      </c>
      <c r="E3" t="n">
        <v>5</v>
      </c>
      <c r="F3" t="n">
        <v>8</v>
      </c>
      <c r="G3">
        <f>IF(F3=0,"N/A",ROUND(C3/F3,1))</f>
        <v/>
      </c>
      <c r="H3">
        <f>IF(C3&lt;=D3,"REORDER NOW",IF(G3&lt;E3*1.5,"ORDER SOON","OK"))</f>
        <v/>
      </c>
      <c r="I3">
        <f>ROUND(E3*F3*1.5,0)</f>
        <v/>
      </c>
    </row>
    <row r="4">
      <c r="A4" t="inlineStr">
        <is>
          <t>SKU003</t>
        </is>
      </c>
      <c r="B4" t="inlineStr">
        <is>
          <t>Gadget X</t>
        </is>
      </c>
      <c r="C4" t="n">
        <v>200</v>
      </c>
      <c r="D4" t="n">
        <v>75</v>
      </c>
      <c r="E4" t="n">
        <v>10</v>
      </c>
      <c r="F4" t="n">
        <v>12</v>
      </c>
      <c r="G4">
        <f>IF(F4=0,"N/A",ROUND(C4/F4,1))</f>
        <v/>
      </c>
      <c r="H4">
        <f>IF(C4&lt;=D4,"REORDER NOW",IF(G4&lt;E4*1.5,"ORDER SOON","OK"))</f>
        <v/>
      </c>
      <c r="I4">
        <f>ROUND(E4*F4*1.5,0)</f>
        <v/>
      </c>
    </row>
    <row r="5">
      <c r="A5" t="inlineStr">
        <is>
          <t>SKU004</t>
        </is>
      </c>
      <c r="B5" t="inlineStr">
        <is>
          <t>Gadget Y</t>
        </is>
      </c>
      <c r="C5" t="n">
        <v>30</v>
      </c>
      <c r="D5" t="n">
        <v>25</v>
      </c>
      <c r="E5" t="n">
        <v>14</v>
      </c>
      <c r="F5" t="n">
        <v>3</v>
      </c>
      <c r="G5">
        <f>IF(F5=0,"N/A",ROUND(C5/F5,1))</f>
        <v/>
      </c>
      <c r="H5">
        <f>IF(C5&lt;=D5,"REORDER NOW",IF(G5&lt;E5*1.5,"ORDER SOON","OK"))</f>
        <v/>
      </c>
      <c r="I5">
        <f>ROUND(E5*F5*1.5,0)</f>
        <v/>
      </c>
    </row>
    <row r="6">
      <c r="A6" t="inlineStr">
        <is>
          <t>SKU005</t>
        </is>
      </c>
      <c r="B6" t="inlineStr">
        <is>
          <t>Component Z</t>
        </is>
      </c>
      <c r="C6" t="n">
        <v>1000</v>
      </c>
      <c r="D6" t="n">
        <v>200</v>
      </c>
      <c r="E6" t="n">
        <v>3</v>
      </c>
      <c r="F6" t="n">
        <v>45</v>
      </c>
      <c r="G6">
        <f>IF(F6=0,"N/A",ROUND(C6/F6,1))</f>
        <v/>
      </c>
      <c r="H6">
        <f>IF(C6&lt;=D6,"REORDER NOW",IF(G6&lt;E6*1.5,"ORDER SOON","OK"))</f>
        <v/>
      </c>
      <c r="I6">
        <f>ROUND(E6*F6*1.5,0)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Monthly Financial Projections</t>
        </is>
      </c>
    </row>
    <row r="3">
      <c r="A3" s="2" t="inlineStr">
        <is>
          <t>Parameters</t>
        </is>
      </c>
    </row>
    <row r="4">
      <c r="A4" t="inlineStr">
        <is>
          <t>Initial Investment:</t>
        </is>
      </c>
      <c r="B4" t="n">
        <v>50000</v>
      </c>
    </row>
    <row r="5">
      <c r="A5" t="inlineStr">
        <is>
          <t>Monthly Growth Rate:</t>
        </is>
      </c>
      <c r="B5" t="n">
        <v>0.05</v>
      </c>
    </row>
    <row r="6">
      <c r="A6" t="inlineStr">
        <is>
          <t>Operating Cost %:</t>
        </is>
      </c>
      <c r="B6" t="n">
        <v>0.35</v>
      </c>
    </row>
    <row r="7">
      <c r="A7" t="inlineStr">
        <is>
          <t>Tax Rate:</t>
        </is>
      </c>
      <c r="B7" t="n">
        <v>0.21</v>
      </c>
    </row>
    <row r="9">
      <c r="A9" s="3" t="inlineStr">
        <is>
          <t>Month</t>
        </is>
      </c>
      <c r="B9" s="3" t="inlineStr">
        <is>
          <t>Revenue</t>
        </is>
      </c>
      <c r="C9" s="3" t="inlineStr">
        <is>
          <t>Operating Costs</t>
        </is>
      </c>
      <c r="D9" s="3" t="inlineStr">
        <is>
          <t>Gross Profit</t>
        </is>
      </c>
      <c r="E9" s="3" t="inlineStr">
        <is>
          <t>Tax</t>
        </is>
      </c>
      <c r="F9" s="3" t="inlineStr">
        <is>
          <t>Net Profit</t>
        </is>
      </c>
      <c r="G9" s="3" t="inlineStr">
        <is>
          <t>Cumulative Profit</t>
        </is>
      </c>
      <c r="H9" s="3" t="inlineStr">
        <is>
          <t>ROI %</t>
        </is>
      </c>
    </row>
    <row r="10">
      <c r="A10" t="n">
        <v>1</v>
      </c>
      <c r="B10">
        <f>$B$4*(1+$B$5)</f>
        <v/>
      </c>
      <c r="C10">
        <f>B10*$B$6</f>
        <v/>
      </c>
      <c r="D10">
        <f>B10-C10</f>
        <v/>
      </c>
      <c r="E10">
        <f>IF(D10&gt;0,D10*$B$7,0)</f>
        <v/>
      </c>
      <c r="F10">
        <f>D10-E10</f>
        <v/>
      </c>
      <c r="G10">
        <f>F10</f>
        <v/>
      </c>
      <c r="H10">
        <f>ROUND(G10/$B$4*100,2)</f>
        <v/>
      </c>
    </row>
    <row r="11">
      <c r="A11" t="n">
        <v>2</v>
      </c>
      <c r="B11">
        <f>B10*(1+$B$5)</f>
        <v/>
      </c>
      <c r="C11">
        <f>B11*$B$6</f>
        <v/>
      </c>
      <c r="D11">
        <f>B11-C11</f>
        <v/>
      </c>
      <c r="E11">
        <f>IF(D11&gt;0,D11*$B$7,0)</f>
        <v/>
      </c>
      <c r="F11">
        <f>D11-E11</f>
        <v/>
      </c>
      <c r="G11">
        <f>G10+F11</f>
        <v/>
      </c>
      <c r="H11">
        <f>ROUND(G11/$B$4*100,2)</f>
        <v/>
      </c>
    </row>
    <row r="12">
      <c r="A12" t="n">
        <v>3</v>
      </c>
      <c r="B12">
        <f>B11*(1+$B$5)</f>
        <v/>
      </c>
      <c r="C12">
        <f>B12*$B$6</f>
        <v/>
      </c>
      <c r="D12">
        <f>B12-C12</f>
        <v/>
      </c>
      <c r="E12">
        <f>IF(D12&gt;0,D12*$B$7,0)</f>
        <v/>
      </c>
      <c r="F12">
        <f>D12-E12</f>
        <v/>
      </c>
      <c r="G12">
        <f>G11+F12</f>
        <v/>
      </c>
      <c r="H12">
        <f>ROUND(G12/$B$4*100,2)</f>
        <v/>
      </c>
    </row>
    <row r="13">
      <c r="A13" t="n">
        <v>4</v>
      </c>
      <c r="B13">
        <f>B12*(1+$B$5)</f>
        <v/>
      </c>
      <c r="C13">
        <f>B13*$B$6</f>
        <v/>
      </c>
      <c r="D13">
        <f>B13-C13</f>
        <v/>
      </c>
      <c r="E13">
        <f>IF(D13&gt;0,D13*$B$7,0)</f>
        <v/>
      </c>
      <c r="F13">
        <f>D13-E13</f>
        <v/>
      </c>
      <c r="G13">
        <f>G12+F13</f>
        <v/>
      </c>
      <c r="H13">
        <f>ROUND(G13/$B$4*100,2)</f>
        <v/>
      </c>
    </row>
    <row r="14">
      <c r="A14" t="n">
        <v>5</v>
      </c>
      <c r="B14">
        <f>B13*(1+$B$5)</f>
        <v/>
      </c>
      <c r="C14">
        <f>B14*$B$6</f>
        <v/>
      </c>
      <c r="D14">
        <f>B14-C14</f>
        <v/>
      </c>
      <c r="E14">
        <f>IF(D14&gt;0,D14*$B$7,0)</f>
        <v/>
      </c>
      <c r="F14">
        <f>D14-E14</f>
        <v/>
      </c>
      <c r="G14">
        <f>G13+F14</f>
        <v/>
      </c>
      <c r="H14">
        <f>ROUND(G14/$B$4*100,2)</f>
        <v/>
      </c>
    </row>
    <row r="15">
      <c r="A15" t="n">
        <v>6</v>
      </c>
      <c r="B15">
        <f>B14*(1+$B$5)</f>
        <v/>
      </c>
      <c r="C15">
        <f>B15*$B$6</f>
        <v/>
      </c>
      <c r="D15">
        <f>B15-C15</f>
        <v/>
      </c>
      <c r="E15">
        <f>IF(D15&gt;0,D15*$B$7,0)</f>
        <v/>
      </c>
      <c r="F15">
        <f>D15-E15</f>
        <v/>
      </c>
      <c r="G15">
        <f>G14+F15</f>
        <v/>
      </c>
      <c r="H15">
        <f>ROUND(G15/$B$4*100,2)</f>
        <v/>
      </c>
    </row>
    <row r="16">
      <c r="A16" t="n">
        <v>7</v>
      </c>
      <c r="B16">
        <f>B15*(1+$B$5)</f>
        <v/>
      </c>
      <c r="C16">
        <f>B16*$B$6</f>
        <v/>
      </c>
      <c r="D16">
        <f>B16-C16</f>
        <v/>
      </c>
      <c r="E16">
        <f>IF(D16&gt;0,D16*$B$7,0)</f>
        <v/>
      </c>
      <c r="F16">
        <f>D16-E16</f>
        <v/>
      </c>
      <c r="G16">
        <f>G15+F16</f>
        <v/>
      </c>
      <c r="H16">
        <f>ROUND(G16/$B$4*100,2)</f>
        <v/>
      </c>
    </row>
    <row r="17">
      <c r="A17" t="n">
        <v>8</v>
      </c>
      <c r="B17">
        <f>B16*(1+$B$5)</f>
        <v/>
      </c>
      <c r="C17">
        <f>B17*$B$6</f>
        <v/>
      </c>
      <c r="D17">
        <f>B17-C17</f>
        <v/>
      </c>
      <c r="E17">
        <f>IF(D17&gt;0,D17*$B$7,0)</f>
        <v/>
      </c>
      <c r="F17">
        <f>D17-E17</f>
        <v/>
      </c>
      <c r="G17">
        <f>G16+F17</f>
        <v/>
      </c>
      <c r="H17">
        <f>ROUND(G17/$B$4*100,2)</f>
        <v/>
      </c>
    </row>
    <row r="18">
      <c r="A18" t="n">
        <v>9</v>
      </c>
      <c r="B18">
        <f>B17*(1+$B$5)</f>
        <v/>
      </c>
      <c r="C18">
        <f>B18*$B$6</f>
        <v/>
      </c>
      <c r="D18">
        <f>B18-C18</f>
        <v/>
      </c>
      <c r="E18">
        <f>IF(D18&gt;0,D18*$B$7,0)</f>
        <v/>
      </c>
      <c r="F18">
        <f>D18-E18</f>
        <v/>
      </c>
      <c r="G18">
        <f>G17+F18</f>
        <v/>
      </c>
      <c r="H18">
        <f>ROUND(G18/$B$4*100,2)</f>
        <v/>
      </c>
    </row>
    <row r="19">
      <c r="A19" t="n">
        <v>10</v>
      </c>
      <c r="B19">
        <f>B18*(1+$B$5)</f>
        <v/>
      </c>
      <c r="C19">
        <f>B19*$B$6</f>
        <v/>
      </c>
      <c r="D19">
        <f>B19-C19</f>
        <v/>
      </c>
      <c r="E19">
        <f>IF(D19&gt;0,D19*$B$7,0)</f>
        <v/>
      </c>
      <c r="F19">
        <f>D19-E19</f>
        <v/>
      </c>
      <c r="G19">
        <f>G18+F19</f>
        <v/>
      </c>
      <c r="H19">
        <f>ROUND(G19/$B$4*100,2)</f>
        <v/>
      </c>
    </row>
    <row r="20">
      <c r="A20" t="n">
        <v>11</v>
      </c>
      <c r="B20">
        <f>B19*(1+$B$5)</f>
        <v/>
      </c>
      <c r="C20">
        <f>B20*$B$6</f>
        <v/>
      </c>
      <c r="D20">
        <f>B20-C20</f>
        <v/>
      </c>
      <c r="E20">
        <f>IF(D20&gt;0,D20*$B$7,0)</f>
        <v/>
      </c>
      <c r="F20">
        <f>D20-E20</f>
        <v/>
      </c>
      <c r="G20">
        <f>G19+F20</f>
        <v/>
      </c>
      <c r="H20">
        <f>ROUND(G20/$B$4*100,2)</f>
        <v/>
      </c>
    </row>
    <row r="21">
      <c r="A21" t="n">
        <v>12</v>
      </c>
      <c r="B21">
        <f>B20*(1+$B$5)</f>
        <v/>
      </c>
      <c r="C21">
        <f>B21*$B$6</f>
        <v/>
      </c>
      <c r="D21">
        <f>B21-C21</f>
        <v/>
      </c>
      <c r="E21">
        <f>IF(D21&gt;0,D21*$B$7,0)</f>
        <v/>
      </c>
      <c r="F21">
        <f>D21-E21</f>
        <v/>
      </c>
      <c r="G21">
        <f>G20+F21</f>
        <v/>
      </c>
      <c r="H21">
        <f>ROUND(G21/$B$4*100,2)</f>
        <v/>
      </c>
    </row>
    <row r="23">
      <c r="A23" s="2" t="inlineStr">
        <is>
          <t>ANNUAL SUMMARY</t>
        </is>
      </c>
    </row>
    <row r="24">
      <c r="A24" t="inlineStr">
        <is>
          <t>Total Revenue:</t>
        </is>
      </c>
      <c r="B24">
        <f>SUM(B10:B21)</f>
        <v/>
      </c>
    </row>
    <row r="25">
      <c r="A25" t="inlineStr">
        <is>
          <t>Total Net Profit:</t>
        </is>
      </c>
      <c r="B25">
        <f>SUM(F10:F21)</f>
        <v/>
      </c>
    </row>
    <row r="26">
      <c r="A26" t="inlineStr">
        <is>
          <t>Break-even Month:</t>
        </is>
      </c>
      <c r="B26">
        <f>MATCH(TRUE,G10:G21&gt;=$B$4,0)</f>
        <v/>
      </c>
    </row>
    <row r="27">
      <c r="A27" t="inlineStr">
        <is>
          <t>NPV (10% discount):</t>
        </is>
      </c>
      <c r="B27">
        <f>NPV(0.1/12,F10:F21)-$B$4</f>
        <v/>
      </c>
    </row>
    <row r="28">
      <c r="A28" t="inlineStr">
        <is>
          <t>Payback Period:</t>
        </is>
      </c>
      <c r="B28">
        <f>IFERROR(MATCH(1,IF(G10:G21&gt;=$B$4,1,0),0),"Not achieved")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2026-03-25T02:53:22Z</dcterms:created>
  <dcterms:modified xsi:type="dcterms:W3CDTF">2026-03-25T02:53:22Z</dcterms:modified>
</cp:coreProperties>
</file>